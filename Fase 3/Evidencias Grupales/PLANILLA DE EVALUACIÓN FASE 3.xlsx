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1D\"/>
    </mc:Choice>
  </mc:AlternateContent>
  <xr:revisionPtr revIDLastSave="0" documentId="13_ncr:1_{393AD9A2-108F-4D2C-B1BA-95761E9FAF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7" i="1"/>
  <c r="B57" i="1"/>
  <c r="B56" i="1"/>
  <c r="B55" i="1"/>
  <c r="B54" i="1"/>
  <c r="B53" i="1"/>
  <c r="B52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G51" i="1"/>
  <c r="E51" i="1"/>
  <c r="E58" i="1" l="1"/>
  <c r="K58" i="1"/>
  <c r="I58" i="1"/>
  <c r="G58" i="1"/>
  <c r="C58" i="1" l="1"/>
  <c r="C59" i="1" s="1"/>
  <c r="D5" i="1" s="1"/>
  <c r="B24" i="1"/>
  <c r="B11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G46" i="1" l="1"/>
  <c r="E33" i="1"/>
  <c r="G33" i="1"/>
  <c r="K46" i="1"/>
  <c r="I46" i="1"/>
  <c r="E46" i="1"/>
  <c r="I33" i="1"/>
  <c r="K33" i="1"/>
  <c r="C33" i="1" l="1"/>
  <c r="C34" i="1" s="1"/>
  <c r="C5" i="1" s="1"/>
  <c r="C46" i="1"/>
  <c r="C47" i="1" s="1"/>
  <c r="D4" i="1" s="1"/>
  <c r="B14" i="1" l="1"/>
  <c r="B15" i="1"/>
  <c r="B16" i="1"/>
  <c r="B17" i="1"/>
  <c r="B18" i="1"/>
  <c r="B19" i="1"/>
  <c r="E13" i="1" l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<sst xmlns="http://schemas.openxmlformats.org/spreadsheetml/2006/main" count="133" uniqueCount="65">
  <si>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</si>
  <si>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</si>
  <si>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</si>
  <si>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</si>
  <si>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</si>
  <si>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</si>
  <si>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</si>
  <si>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</si>
  <si>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</si>
  <si>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</si>
  <si>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</si>
  <si>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</si>
  <si>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</si>
  <si>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</si>
  <si>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</si>
  <si>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</si>
  <si>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</si>
  <si>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</si>
  <si>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</si>
  <si>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</si>
  <si>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</si>
  <si>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</si>
  <si>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</si>
  <si>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</si>
  <si>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</si>
  <si>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</si>
  <si>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</si>
  <si>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</si>
  <si>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</si>
  <si>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</si>
  <si>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</si>
  <si>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</si>
  <si>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</si>
  <si>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</si>
  <si>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</si>
  <si>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</si>
  <si>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</si>
  <si>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</si>
  <si>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</si>
  <si>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</si>
  <si>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</si>
  <si>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</si>
  <si>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</si>
  <si>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</si>
  <si>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</si>
  <si>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</si>
  <si>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</si>
  <si>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</si>
  <si>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</si>
  <si>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</si>
  <si>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</si>
  <si>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</si>
  <si>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</si>
  <si>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</si>
  <si>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</si>
  <si>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</si>
  <si>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</si>
  <si>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</si>
  <si>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</si>
  <si>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</si>
  <si>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</si>
  <si>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</si>
  <si>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</si>
  <si>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MAYCKEL NICOLAS ISMAEL ZEPEDA CISTERNAS</t>
  </si>
  <si>
    <t>SEBASTIAN IGNACIO QUEZADA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</si>
</sst>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8"/>
  <sheetViews>
    <sheetView tabSelected="1" zoomScale="85" zoomScaleNormal="85" workbookViewId="0">
      <selection sqref="A1:K60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6.6</v>
      </c>
      <c r="D4" s="37">
        <f>C47</f>
        <v>6.6</v>
      </c>
      <c r="E4" s="36">
        <f>C4*C$2+D4*D$2</f>
        <v>6.5999999999999988</v>
      </c>
    </row>
    <row r="5" spans="1:11" ht="14.4" x14ac:dyDescent="0.3">
      <c r="A5" s="3">
        <v>2</v>
      </c>
      <c r="B5" s="16" t="s">
        <v>64</v>
      </c>
      <c r="C5" s="31">
        <f>C34</f>
        <v>6.6</v>
      </c>
      <c r="D5" s="37">
        <f>C59</f>
        <v>6.6</v>
      </c>
      <c r="E5" s="36">
        <f t="shared" ref="E5" si="0">C5*C$2+D5*D$2</f>
        <v>6.5999999999999988</v>
      </c>
    </row>
    <row r="6" spans="1:11" ht="14.4" x14ac:dyDescent="0.3">
      <c r="A6" s="3"/>
      <c r="B6" s="16"/>
      <c r="C6" s="31"/>
      <c r="D6" s="37"/>
      <c r="E6" s="36"/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0" t="s">
        <v>4</v>
      </c>
      <c r="B11" s="11" t="str">
        <f>B4</f>
        <v>MAYCKEL NICOLAS ISMAEL ZEPEDA CISTERNAS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ht="14.4" outlineLevel="1" x14ac:dyDescent="0.3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4" outlineLevel="1" x14ac:dyDescent="0.3">
      <c r="A13" s="40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62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0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ref="D13:D17" si="4">IF($C14=CL,"X","")</f>
        <v>X</v>
      </c>
      <c r="E14" s="12">
        <f>IF(D14="X",100*0.25,"")</f>
        <v>25</v>
      </c>
      <c r="F14" s="12" t="str">
        <f t="shared" ref="F13:F17" si="5">IF($C14=L,"X","")</f>
        <v/>
      </c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0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4"/>
        <v>X</v>
      </c>
      <c r="E15" s="12">
        <f>IF(D15="X",100*0.2,"")</f>
        <v>20</v>
      </c>
      <c r="F15" s="12" t="str">
        <f t="shared" si="5"/>
        <v/>
      </c>
      <c r="G15" s="12" t="str">
        <f>IF(F15="X",60*0.2,"")</f>
        <v/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0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4"/>
        <v>X</v>
      </c>
      <c r="E16" s="12">
        <f>IF(D16="X",100*0.05,"")</f>
        <v>5</v>
      </c>
      <c r="F16" s="12" t="str">
        <f t="shared" si="5"/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0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4"/>
        <v>X</v>
      </c>
      <c r="E17" s="12">
        <f>IF(D17="X",100*0.05,"")</f>
        <v>5</v>
      </c>
      <c r="F17" s="12" t="str">
        <f t="shared" si="5"/>
        <v/>
      </c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0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0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39"/>
      <c r="B20" s="18" t="s">
        <v>12</v>
      </c>
      <c r="C20" s="22">
        <f>E20+G20+I20+K20</f>
        <v>94</v>
      </c>
      <c r="D20" s="13"/>
      <c r="E20" s="13">
        <f>SUM(E13:E19)</f>
        <v>85</v>
      </c>
      <c r="F20" s="13"/>
      <c r="G20" s="13">
        <f>SUM(G13:G19)</f>
        <v>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1"/>
      <c r="B21" s="21" t="s">
        <v>13</v>
      </c>
      <c r="C21" s="14">
        <f>VLOOKUP(C20,ESCALA_IEP!A2:B202,2,FALSE)</f>
        <v>6.6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0" t="s">
        <v>4</v>
      </c>
      <c r="B24" s="11" t="str">
        <f>B5</f>
        <v>SEBASTIAN IGNACIO QUEZADA RAMIREZ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3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3">
      <c r="A26" s="40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62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0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6:D30" si="10">IF($C27=CL,"X","")</f>
        <v>X</v>
      </c>
      <c r="E27" s="12">
        <f>IF(D27="X",100*0.25,"")</f>
        <v>25</v>
      </c>
      <c r="F27" s="12" t="str">
        <f t="shared" ref="F26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0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10"/>
        <v>X</v>
      </c>
      <c r="E28" s="12">
        <f>IF(D28="X",100*0.2,"")</f>
        <v>20</v>
      </c>
      <c r="F28" s="12" t="str">
        <f t="shared" si="11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0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0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0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0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39"/>
      <c r="B33" s="18" t="s">
        <v>12</v>
      </c>
      <c r="C33" s="22">
        <f>E33+G33+I33+K33</f>
        <v>94</v>
      </c>
      <c r="D33" s="13"/>
      <c r="E33" s="13">
        <f>SUM(E26:E32)</f>
        <v>85</v>
      </c>
      <c r="F33" s="13"/>
      <c r="G33" s="13">
        <f>SUM(G26:G32)</f>
        <v>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1"/>
      <c r="B34" s="21" t="s">
        <v>13</v>
      </c>
      <c r="C34" s="14">
        <f>VLOOKUP(C33,ESCALA_IEP!A15:B215,2,FALSE)</f>
        <v>6.6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7" t="s">
        <v>14</v>
      </c>
      <c r="B37" s="11" t="str">
        <f>B4</f>
        <v>MAYCKEL NICOLAS ISMAEL ZEPEDA CISTERNAS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3">
      <c r="A38" s="48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3">
      <c r="A39" s="48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62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3">
      <c r="A40" s="48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39:D43" si="15">IF($C40=CL,"X","")</f>
        <v>X</v>
      </c>
      <c r="E40" s="12">
        <f>IF(D40="X",100*0.25,"")</f>
        <v>25</v>
      </c>
      <c r="F40" s="12" t="str">
        <f t="shared" ref="F39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3">
      <c r="A41" s="48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5"/>
        <v>X</v>
      </c>
      <c r="E41" s="12">
        <f>IF(D41="X",100*0.2,"")</f>
        <v>20</v>
      </c>
      <c r="F41" s="12" t="str">
        <f t="shared" si="16"/>
        <v/>
      </c>
      <c r="G41" s="12" t="str">
        <f>IF(F41="X",60*0.2,"")</f>
        <v/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3">
      <c r="A42" s="48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3">
      <c r="A43" s="48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3">
      <c r="A44" s="48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3">
      <c r="A45" s="48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5">
      <c r="A46" s="48"/>
      <c r="B46" s="18" t="s">
        <v>12</v>
      </c>
      <c r="C46" s="22">
        <f>E46+G46+I46+K46</f>
        <v>94</v>
      </c>
      <c r="D46" s="13"/>
      <c r="E46" s="13">
        <f>SUM(E39:E45)</f>
        <v>85</v>
      </c>
      <c r="F46" s="13"/>
      <c r="G46" s="13">
        <f>SUM(G39:G45)</f>
        <v>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9"/>
      <c r="B47" s="21" t="s">
        <v>13</v>
      </c>
      <c r="C47" s="14">
        <f>VLOOKUP(C46,ESCALA_IEP!A28:B228,2,FALSE)</f>
        <v>6.6</v>
      </c>
    </row>
    <row r="48" spans="1:11" ht="15.75" customHeight="1" x14ac:dyDescent="0.3"/>
    <row r="49" spans="1:11" ht="15.75" customHeight="1" x14ac:dyDescent="0.3">
      <c r="A49" s="47" t="s">
        <v>15</v>
      </c>
      <c r="B49" s="11" t="str">
        <f>B5</f>
        <v>SEBASTIAN IGNACIO QUEZADA RAMIREZ</v>
      </c>
      <c r="C49" s="42" t="s">
        <v>5</v>
      </c>
      <c r="D49" s="43" t="s">
        <v>6</v>
      </c>
      <c r="E49" s="44"/>
      <c r="F49" s="44"/>
      <c r="G49" s="44"/>
      <c r="H49" s="44"/>
      <c r="I49" s="44"/>
      <c r="J49" s="44"/>
      <c r="K49" s="45"/>
    </row>
    <row r="50" spans="1:11" ht="15.75" customHeight="1" x14ac:dyDescent="0.3">
      <c r="A50" s="48"/>
      <c r="B50" s="15" t="s">
        <v>7</v>
      </c>
      <c r="C50" s="41"/>
      <c r="D50" s="43" t="s">
        <v>8</v>
      </c>
      <c r="E50" s="45"/>
      <c r="F50" s="43" t="s">
        <v>9</v>
      </c>
      <c r="G50" s="45"/>
      <c r="H50" s="46" t="s">
        <v>10</v>
      </c>
      <c r="I50" s="45"/>
      <c r="J50" s="43" t="s">
        <v>11</v>
      </c>
      <c r="K50" s="45"/>
    </row>
    <row r="51" spans="1:11" ht="29.4" customHeight="1" x14ac:dyDescent="0.3">
      <c r="A51" s="48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/>
      <c r="E51" s="12" t="str">
        <f>IF(D51="X",100*0.15,"")</f>
        <v/>
      </c>
      <c r="F51" s="12" t="s">
        <v>62</v>
      </c>
      <c r="G51" s="12">
        <f>IF(F51="X",60*0.15,"")</f>
        <v>9</v>
      </c>
      <c r="H51" s="12" t="str">
        <f t="shared" ref="H51:H55" si="17">IF($C51=ML,"X","")</f>
        <v/>
      </c>
      <c r="I51" s="12" t="str">
        <f>IF(H51="X",30*0.15,"")</f>
        <v/>
      </c>
      <c r="J51" s="12" t="str">
        <f t="shared" ref="J51:J55" si="18">IF($C51=NL,"X","")</f>
        <v/>
      </c>
      <c r="K51" s="12" t="str">
        <f t="shared" ref="K51:K57" si="19">IF($J51="X",0,"")</f>
        <v/>
      </c>
    </row>
    <row r="52" spans="1:11" ht="36.6" customHeight="1" x14ac:dyDescent="0.3">
      <c r="A52" s="48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ref="D51:D55" si="20">IF($C52=CL,"X","")</f>
        <v>X</v>
      </c>
      <c r="E52" s="12">
        <f>IF(D52="X",100*0.25,"")</f>
        <v>25</v>
      </c>
      <c r="F52" s="12" t="str">
        <f t="shared" ref="F51:F55" si="21">IF($C52=L,"X","")</f>
        <v/>
      </c>
      <c r="G52" s="12" t="str">
        <f>IF(F52="X",60*0.25,"")</f>
        <v/>
      </c>
      <c r="H52" s="12" t="str">
        <f t="shared" si="17"/>
        <v/>
      </c>
      <c r="I52" s="12" t="str">
        <f>IF(H52="X",30*0.25,"")</f>
        <v/>
      </c>
      <c r="J52" s="12" t="str">
        <f t="shared" si="18"/>
        <v/>
      </c>
      <c r="K52" s="12" t="str">
        <f t="shared" si="19"/>
        <v/>
      </c>
    </row>
    <row r="53" spans="1:11" ht="27.6" customHeight="1" x14ac:dyDescent="0.3">
      <c r="A53" s="48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 t="str">
        <f t="shared" si="20"/>
        <v>X</v>
      </c>
      <c r="E53" s="12">
        <f>IF(D53="X",100*0.2,"")</f>
        <v>20</v>
      </c>
      <c r="F53" s="12" t="str">
        <f t="shared" si="21"/>
        <v/>
      </c>
      <c r="G53" s="12" t="str">
        <f>IF(F53="X",60*0.2,"")</f>
        <v/>
      </c>
      <c r="H53" s="12" t="str">
        <f t="shared" si="17"/>
        <v/>
      </c>
      <c r="I53" s="12" t="str">
        <f>IF(H53="X",30*0.2,"")</f>
        <v/>
      </c>
      <c r="J53" s="12" t="str">
        <f t="shared" si="18"/>
        <v/>
      </c>
      <c r="K53" s="12" t="str">
        <f t="shared" si="19"/>
        <v/>
      </c>
    </row>
    <row r="54" spans="1:11" ht="35.4" customHeight="1" x14ac:dyDescent="0.3">
      <c r="A54" s="48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20"/>
        <v>X</v>
      </c>
      <c r="E54" s="12">
        <f>IF(D54="X",100*0.05,"")</f>
        <v>5</v>
      </c>
      <c r="F54" s="12" t="str">
        <f t="shared" si="21"/>
        <v/>
      </c>
      <c r="G54" s="12" t="str">
        <f>IF(F54="X",60*0.05,"")</f>
        <v/>
      </c>
      <c r="H54" s="12" t="str">
        <f t="shared" si="17"/>
        <v/>
      </c>
      <c r="I54" s="12" t="str">
        <f>IF(H54="X",30*0.05,"")</f>
        <v/>
      </c>
      <c r="J54" s="12" t="str">
        <f t="shared" si="18"/>
        <v/>
      </c>
      <c r="K54" s="12" t="str">
        <f t="shared" si="19"/>
        <v/>
      </c>
    </row>
    <row r="55" spans="1:11" ht="30.6" customHeight="1" x14ac:dyDescent="0.3">
      <c r="A55" s="48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20"/>
        <v>X</v>
      </c>
      <c r="E55" s="12">
        <f>IF(D55="X",100*0.05,"")</f>
        <v>5</v>
      </c>
      <c r="F55" s="12" t="str">
        <f t="shared" si="21"/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9.4" customHeight="1" x14ac:dyDescent="0.3">
      <c r="A56" s="48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19"/>
        <v/>
      </c>
    </row>
    <row r="57" spans="1:11" ht="30" customHeight="1" x14ac:dyDescent="0.3">
      <c r="A57" s="48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19"/>
        <v/>
      </c>
    </row>
    <row r="58" spans="1:11" ht="15.75" customHeight="1" x14ac:dyDescent="0.35">
      <c r="A58" s="48"/>
      <c r="B58" s="18" t="s">
        <v>12</v>
      </c>
      <c r="C58" s="22">
        <f>E58+G58+I58+K58</f>
        <v>94</v>
      </c>
      <c r="D58" s="13"/>
      <c r="E58" s="13">
        <f>SUM(E51:E57)</f>
        <v>85</v>
      </c>
      <c r="F58" s="13"/>
      <c r="G58" s="13">
        <f>SUM(G51:G57)</f>
        <v>9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9"/>
      <c r="B59" s="21" t="s">
        <v>13</v>
      </c>
      <c r="C59" s="14">
        <f>VLOOKUP(C58,ESCALA_IEP!A40:B240,2,FALSE)</f>
        <v>6.6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</sheetData>
  <sheetProtection algorithmName="SHA-512" hashValue="e0abdAs9dERUuFYV1dic7+FYxWf/cnMaiHvHZFoOpbuxXc9wngiQdnyYxU6n94GsYSBB/9IbJHwCTmcyg2A09Q==" saltValue="Qd5d094b8bxlAuJH5jUsjg==" spinCount="100000" sheet="1" objects="1" scenarios="1"/>
  <mergeCells count="28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D24:K24"/>
    <mergeCell ref="D25:E25"/>
    <mergeCell ref="F25:G25"/>
    <mergeCell ref="H25:I25"/>
    <mergeCell ref="J25:K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1" t="s">
        <v>16</v>
      </c>
      <c r="B1" s="53" t="s">
        <v>17</v>
      </c>
      <c r="C1" s="54"/>
      <c r="D1" s="54"/>
      <c r="E1" s="55"/>
      <c r="F1" s="51" t="s">
        <v>18</v>
      </c>
    </row>
    <row r="2" spans="1:6" x14ac:dyDescent="0.3">
      <c r="A2" s="52"/>
      <c r="B2" s="56" t="s">
        <v>19</v>
      </c>
      <c r="C2" s="56" t="s">
        <v>20</v>
      </c>
      <c r="D2" s="25" t="s">
        <v>21</v>
      </c>
      <c r="E2" s="26" t="s">
        <v>11</v>
      </c>
      <c r="F2" s="52"/>
    </row>
    <row r="3" spans="1:6" x14ac:dyDescent="0.3">
      <c r="A3" s="52"/>
      <c r="B3" s="57"/>
      <c r="C3" s="57"/>
      <c r="D3" s="27">
        <v>0.3</v>
      </c>
      <c r="E3" s="27">
        <v>0</v>
      </c>
      <c r="F3" s="52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8" t="s">
        <v>59</v>
      </c>
      <c r="B1" s="4" t="s">
        <v>12</v>
      </c>
      <c r="C1" s="5"/>
      <c r="D1" s="5"/>
      <c r="E1" s="6"/>
    </row>
    <row r="2" spans="1:5" ht="43.8" thickBot="1" x14ac:dyDescent="0.35">
      <c r="A2" s="59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2025-12-11T04:00:13Z</dcterms:modified>
  <cp:category/>
  <cp:contentStatus/>
</cp:coreProperties>
</file>